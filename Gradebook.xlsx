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4F97740F-6BDE-4F91-B1ED-05929024C99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0" i="1" l="1"/>
  <c r="I6" i="1"/>
  <c r="C22" i="1"/>
  <c r="K24" i="1"/>
  <c r="J24" i="1"/>
  <c r="I24" i="1"/>
  <c r="H24" i="1"/>
  <c r="K23" i="1"/>
  <c r="J23" i="1"/>
  <c r="I23" i="1"/>
  <c r="H23" i="1"/>
  <c r="K22" i="1"/>
  <c r="J22" i="1"/>
  <c r="I22" i="1"/>
  <c r="H22" i="1"/>
  <c r="D24" i="1"/>
  <c r="E24" i="1"/>
  <c r="F24" i="1"/>
  <c r="C24" i="1"/>
  <c r="D23" i="1"/>
  <c r="E23" i="1"/>
  <c r="F23" i="1"/>
  <c r="C23" i="1"/>
  <c r="D22" i="1"/>
  <c r="E22" i="1"/>
  <c r="F22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4" i="1"/>
  <c r="K13" i="1"/>
  <c r="H11" i="1"/>
  <c r="I7" i="1"/>
  <c r="J7" i="1"/>
  <c r="J4" i="1"/>
  <c r="K4" i="1"/>
  <c r="I4" i="1"/>
  <c r="H4" i="1"/>
  <c r="H12" i="1"/>
  <c r="H5" i="1"/>
  <c r="K6" i="1"/>
  <c r="K7" i="1"/>
  <c r="K8" i="1"/>
  <c r="K9" i="1"/>
  <c r="K10" i="1"/>
  <c r="K11" i="1"/>
  <c r="K12" i="1"/>
  <c r="K14" i="1"/>
  <c r="K15" i="1"/>
  <c r="K16" i="1"/>
  <c r="K17" i="1"/>
  <c r="K18" i="1"/>
  <c r="K19" i="1"/>
  <c r="K20" i="1"/>
  <c r="K5" i="1"/>
  <c r="J12" i="1"/>
  <c r="J13" i="1"/>
  <c r="J14" i="1"/>
  <c r="J15" i="1"/>
  <c r="J16" i="1"/>
  <c r="J17" i="1"/>
  <c r="J18" i="1"/>
  <c r="J19" i="1"/>
  <c r="J20" i="1"/>
  <c r="J6" i="1"/>
  <c r="J8" i="1"/>
  <c r="J9" i="1"/>
  <c r="J10" i="1"/>
  <c r="J11" i="1"/>
  <c r="J5" i="1"/>
  <c r="I5" i="1"/>
  <c r="I8" i="1"/>
  <c r="I9" i="1"/>
  <c r="I11" i="1"/>
  <c r="I12" i="1"/>
  <c r="I13" i="1"/>
  <c r="I14" i="1"/>
  <c r="I15" i="1"/>
  <c r="I16" i="1"/>
  <c r="I17" i="1"/>
  <c r="I18" i="1"/>
  <c r="I19" i="1"/>
  <c r="I20" i="1"/>
  <c r="H20" i="1"/>
  <c r="H6" i="1"/>
  <c r="H7" i="1"/>
  <c r="H8" i="1"/>
  <c r="H9" i="1"/>
  <c r="H10" i="1"/>
  <c r="H13" i="1"/>
  <c r="H14" i="1"/>
  <c r="H15" i="1"/>
  <c r="H16" i="1"/>
  <c r="H17" i="1"/>
  <c r="H18" i="1"/>
  <c r="H19" i="1"/>
</calcChain>
</file>

<file path=xl/sharedStrings.xml><?xml version="1.0" encoding="utf-8"?>
<sst xmlns="http://schemas.openxmlformats.org/spreadsheetml/2006/main" count="50" uniqueCount="45">
  <si>
    <t>GRADEBOOK</t>
  </si>
  <si>
    <t xml:space="preserve">   Safety Test</t>
  </si>
  <si>
    <t xml:space="preserve">  Company philosophy Test</t>
  </si>
  <si>
    <t xml:space="preserve">  Financial Skills Test</t>
  </si>
  <si>
    <t xml:space="preserve">  Drug Test</t>
  </si>
  <si>
    <t xml:space="preserve">   Company philosophy Test</t>
  </si>
  <si>
    <t xml:space="preserve">   Financial Skills Test</t>
  </si>
  <si>
    <t xml:space="preserve">   Drug Test</t>
  </si>
  <si>
    <t>Fire Employee ?</t>
  </si>
  <si>
    <t>Points Possible</t>
  </si>
  <si>
    <t>LAST NAME</t>
  </si>
  <si>
    <t>FIRST NAME</t>
  </si>
  <si>
    <t>Sharma</t>
  </si>
  <si>
    <t>Ravi</t>
  </si>
  <si>
    <t>Raj</t>
  </si>
  <si>
    <t>Surbhi</t>
  </si>
  <si>
    <t>Kumar</t>
  </si>
  <si>
    <t>Joseph</t>
  </si>
  <si>
    <t>Scott</t>
  </si>
  <si>
    <t>Alex</t>
  </si>
  <si>
    <t>Agarwal</t>
  </si>
  <si>
    <t>Nidhi</t>
  </si>
  <si>
    <t>Honda</t>
  </si>
  <si>
    <t>Rika</t>
  </si>
  <si>
    <t>Soni</t>
  </si>
  <si>
    <t>Pankaj</t>
  </si>
  <si>
    <t>Hussain</t>
  </si>
  <si>
    <t>Yusuf</t>
  </si>
  <si>
    <t>Khan</t>
  </si>
  <si>
    <t>Junaid</t>
  </si>
  <si>
    <t>Kapoor</t>
  </si>
  <si>
    <t>Kishore</t>
  </si>
  <si>
    <t>Roshan</t>
  </si>
  <si>
    <t>Rahul</t>
  </si>
  <si>
    <t>Xavier</t>
  </si>
  <si>
    <t>David</t>
  </si>
  <si>
    <t>Tripathi</t>
  </si>
  <si>
    <t>Porav</t>
  </si>
  <si>
    <t>Nitin</t>
  </si>
  <si>
    <t>Thakur</t>
  </si>
  <si>
    <t>Karan</t>
  </si>
  <si>
    <t>Arun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</si>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</sst>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24"/>
      <color rgb="FF833C0C"/>
      <name val="Calibri"/>
      <scheme val="minor"/>
    </font>
    <font>
      <b/>
      <sz val="14"/>
      <color rgb="FF000000"/>
      <name val="Calibri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textRotation="45"/>
    </xf>
    <xf numFmtId="0" fontId="1" fillId="0" borderId="0" xfId="0" applyFont="1"/>
    <xf numFmtId="0" fontId="0" fillId="0" borderId="0" xfId="0" applyAlignment="1"/>
    <xf numFmtId="0" fontId="0" fillId="0" borderId="0" xfId="0" applyAlignment="1">
      <alignment horizontal="center" vertical="center"/>
    </xf>
    <xf numFmtId="10" fontId="0" fillId="0" borderId="0" xfId="0" applyNumberFormat="1"/>
    <xf numFmtId="2" fontId="0" fillId="0" borderId="0" xfId="0" applyNumberFormat="1"/>
    <xf numFmtId="164" fontId="0" fillId="0" borderId="0" xfId="0" applyNumberFormat="1" applyAlignment="1"/>
    <xf numFmtId="9" fontId="0" fillId="0" borderId="0" xfId="0" applyNumberFormat="1" applyAlignment="1"/>
    <xf numFmtId="0" fontId="3" fillId="0" borderId="0" xfId="0" applyFont="1"/>
    <xf numFmtId="0" fontId="3" fillId="3" borderId="0" xfId="0" applyFont="1" applyFill="1" applyAlignment="1">
      <alignment horizontal="center" textRotation="90"/>
    </xf>
    <xf numFmtId="0" fontId="3" fillId="2" borderId="0" xfId="0" applyFont="1" applyFill="1" applyAlignment="1">
      <alignment horizontal="center" textRotation="90"/>
    </xf>
    <xf numFmtId="0" fontId="3" fillId="4" borderId="0" xfId="0" applyFont="1" applyFill="1" applyAlignment="1">
      <alignment horizontal="center" textRotation="90"/>
    </xf>
    <xf numFmtId="0" fontId="3" fillId="5" borderId="0" xfId="0" applyFont="1" applyFill="1" applyAlignment="1">
      <alignment horizontal="center" textRotation="90"/>
    </xf>
    <xf numFmtId="0" fontId="4" fillId="4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C6591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SAFETY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C6591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solidFill>
              <a:srgbClr val="ED7D31"/>
            </a:solidFill>
            <a:ln w="1270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Sharma</c:v>
                </c:pt>
                <c:pt idx="1">
                  <c:v>Raj</c:v>
                </c:pt>
                <c:pt idx="2">
                  <c:v>Kumar</c:v>
                </c:pt>
                <c:pt idx="3">
                  <c:v>Scott</c:v>
                </c:pt>
                <c:pt idx="4">
                  <c:v>Agarwal</c:v>
                </c:pt>
                <c:pt idx="5">
                  <c:v>Honda</c:v>
                </c:pt>
                <c:pt idx="6">
                  <c:v>Soni</c:v>
                </c:pt>
                <c:pt idx="7">
                  <c:v>Hussain</c:v>
                </c:pt>
                <c:pt idx="8">
                  <c:v>Khan</c:v>
                </c:pt>
                <c:pt idx="9">
                  <c:v>Kapoor</c:v>
                </c:pt>
                <c:pt idx="10">
                  <c:v>Sharma</c:v>
                </c:pt>
                <c:pt idx="11">
                  <c:v>Raj</c:v>
                </c:pt>
                <c:pt idx="12">
                  <c:v>Xavier</c:v>
                </c:pt>
                <c:pt idx="13">
                  <c:v>Tripathi</c:v>
                </c:pt>
                <c:pt idx="14">
                  <c:v>Kumar</c:v>
                </c:pt>
                <c:pt idx="15">
                  <c:v>Thakur</c:v>
                </c:pt>
                <c:pt idx="16">
                  <c:v>Kumar</c:v>
                </c:pt>
              </c:strCache>
            </c:strRef>
          </c:cat>
          <c:val>
            <c:numRef>
              <c:f>Sheet1!$C$4:$C$20</c:f>
              <c:numCache>
                <c:formatCode>General</c:formatCode>
                <c:ptCount val="17"/>
                <c:pt idx="0">
                  <c:v>10</c:v>
                </c:pt>
                <c:pt idx="1">
                  <c:v>8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8</c:v>
                </c:pt>
                <c:pt idx="6">
                  <c:v>8</c:v>
                </c:pt>
                <c:pt idx="7">
                  <c:v>6</c:v>
                </c:pt>
                <c:pt idx="8">
                  <c:v>10</c:v>
                </c:pt>
                <c:pt idx="9">
                  <c:v>7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5-4891-BB7B-922C659F3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7"/>
        <c:axId val="805489672"/>
        <c:axId val="805385224"/>
      </c:barChart>
      <c:catAx>
        <c:axId val="805489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385224"/>
        <c:crosses val="autoZero"/>
        <c:auto val="1"/>
        <c:lblAlgn val="ctr"/>
        <c:lblOffset val="100"/>
        <c:noMultiLvlLbl val="0"/>
      </c:catAx>
      <c:valAx>
        <c:axId val="805385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89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BF8F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 PHILOSOPHY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BF8F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E699"/>
            </a:solidFill>
            <a:ln>
              <a:noFill/>
            </a:ln>
            <a:effectLst/>
          </c:spPr>
          <c:invertIfNegative val="0"/>
          <c:cat>
            <c:strRef>
              <c:f>Sheet1!A4:A20</c:f>
              <c:strCache>
                <c:ptCount val="17"/>
                <c:pt idx="0">
                  <c:v>Sharma</c:v>
                </c:pt>
                <c:pt idx="1">
                  <c:v>Raj</c:v>
                </c:pt>
                <c:pt idx="2">
                  <c:v>Kumar</c:v>
                </c:pt>
                <c:pt idx="3">
                  <c:v>Scott</c:v>
                </c:pt>
                <c:pt idx="4">
                  <c:v>Agarwal</c:v>
                </c:pt>
                <c:pt idx="5">
                  <c:v>Honda</c:v>
                </c:pt>
                <c:pt idx="6">
                  <c:v>Soni</c:v>
                </c:pt>
                <c:pt idx="7">
                  <c:v>Hussain</c:v>
                </c:pt>
                <c:pt idx="8">
                  <c:v>Khan</c:v>
                </c:pt>
                <c:pt idx="9">
                  <c:v>Kapoor</c:v>
                </c:pt>
                <c:pt idx="10">
                  <c:v>Sharma</c:v>
                </c:pt>
                <c:pt idx="11">
                  <c:v>Raj</c:v>
                </c:pt>
                <c:pt idx="12">
                  <c:v>Xavier</c:v>
                </c:pt>
                <c:pt idx="13">
                  <c:v>Tripathi</c:v>
                </c:pt>
                <c:pt idx="14">
                  <c:v>Kumar</c:v>
                </c:pt>
                <c:pt idx="15">
                  <c:v>Thakur</c:v>
                </c:pt>
                <c:pt idx="16">
                  <c:v>Kumar</c:v>
                </c:pt>
              </c:strCache>
            </c:strRef>
          </c:cat>
          <c:val>
            <c:numRef>
              <c:f>Sheet1!$D$4:$D$20</c:f>
              <c:numCache>
                <c:formatCode>General</c:formatCode>
                <c:ptCount val="17"/>
                <c:pt idx="0">
                  <c:v>19</c:v>
                </c:pt>
                <c:pt idx="1">
                  <c:v>17</c:v>
                </c:pt>
                <c:pt idx="2">
                  <c:v>14</c:v>
                </c:pt>
                <c:pt idx="3">
                  <c:v>11</c:v>
                </c:pt>
                <c:pt idx="4">
                  <c:v>19</c:v>
                </c:pt>
                <c:pt idx="5">
                  <c:v>19</c:v>
                </c:pt>
                <c:pt idx="6">
                  <c:v>20</c:v>
                </c:pt>
                <c:pt idx="7">
                  <c:v>15</c:v>
                </c:pt>
                <c:pt idx="8">
                  <c:v>15</c:v>
                </c:pt>
                <c:pt idx="9">
                  <c:v>11</c:v>
                </c:pt>
                <c:pt idx="10">
                  <c:v>20</c:v>
                </c:pt>
                <c:pt idx="11">
                  <c:v>20</c:v>
                </c:pt>
                <c:pt idx="12">
                  <c:v>19</c:v>
                </c:pt>
                <c:pt idx="13">
                  <c:v>14</c:v>
                </c:pt>
                <c:pt idx="14">
                  <c:v>9</c:v>
                </c:pt>
                <c:pt idx="15">
                  <c:v>11</c:v>
                </c:pt>
                <c:pt idx="1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3-429B-BC2D-16E00D330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7"/>
        <c:overlap val="-27"/>
        <c:axId val="805435912"/>
        <c:axId val="805462536"/>
      </c:barChart>
      <c:catAx>
        <c:axId val="805435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62536"/>
        <c:crosses val="autoZero"/>
        <c:auto val="1"/>
        <c:lblAlgn val="ctr"/>
        <c:lblOffset val="100"/>
        <c:noMultiLvlLbl val="0"/>
      </c:catAx>
      <c:valAx>
        <c:axId val="805462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35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 SKILLS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37562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A9D08E"/>
            </a:solidFill>
            <a:ln>
              <a:noFill/>
            </a:ln>
            <a:effectLst/>
          </c:spPr>
          <c:invertIfNegative val="0"/>
          <c:cat>
            <c:strRef>
              <c:f>Sheet1!A4:A20</c:f>
              <c:strCache>
                <c:ptCount val="17"/>
                <c:pt idx="0">
                  <c:v>Sharma</c:v>
                </c:pt>
                <c:pt idx="1">
                  <c:v>Raj</c:v>
                </c:pt>
                <c:pt idx="2">
                  <c:v>Kumar</c:v>
                </c:pt>
                <c:pt idx="3">
                  <c:v>Scott</c:v>
                </c:pt>
                <c:pt idx="4">
                  <c:v>Agarwal</c:v>
                </c:pt>
                <c:pt idx="5">
                  <c:v>Honda</c:v>
                </c:pt>
                <c:pt idx="6">
                  <c:v>Soni</c:v>
                </c:pt>
                <c:pt idx="7">
                  <c:v>Hussain</c:v>
                </c:pt>
                <c:pt idx="8">
                  <c:v>Khan</c:v>
                </c:pt>
                <c:pt idx="9">
                  <c:v>Kapoor</c:v>
                </c:pt>
                <c:pt idx="10">
                  <c:v>Sharma</c:v>
                </c:pt>
                <c:pt idx="11">
                  <c:v>Raj</c:v>
                </c:pt>
                <c:pt idx="12">
                  <c:v>Xavier</c:v>
                </c:pt>
                <c:pt idx="13">
                  <c:v>Tripathi</c:v>
                </c:pt>
                <c:pt idx="14">
                  <c:v>Kumar</c:v>
                </c:pt>
                <c:pt idx="15">
                  <c:v>Thakur</c:v>
                </c:pt>
                <c:pt idx="16">
                  <c:v>Kumar</c:v>
                </c:pt>
              </c:strCache>
            </c:strRef>
          </c:cat>
          <c:val>
            <c:numRef>
              <c:f>Sheet1!$E$4:$E$20</c:f>
              <c:numCache>
                <c:formatCode>General</c:formatCode>
                <c:ptCount val="17"/>
                <c:pt idx="0">
                  <c:v>93</c:v>
                </c:pt>
                <c:pt idx="1">
                  <c:v>80</c:v>
                </c:pt>
                <c:pt idx="2">
                  <c:v>95</c:v>
                </c:pt>
                <c:pt idx="3">
                  <c:v>60</c:v>
                </c:pt>
                <c:pt idx="4">
                  <c:v>54</c:v>
                </c:pt>
                <c:pt idx="5">
                  <c:v>64</c:v>
                </c:pt>
                <c:pt idx="6">
                  <c:v>20</c:v>
                </c:pt>
                <c:pt idx="7">
                  <c:v>69</c:v>
                </c:pt>
                <c:pt idx="8">
                  <c:v>99</c:v>
                </c:pt>
                <c:pt idx="9">
                  <c:v>84</c:v>
                </c:pt>
                <c:pt idx="10">
                  <c:v>86</c:v>
                </c:pt>
                <c:pt idx="11">
                  <c:v>53</c:v>
                </c:pt>
                <c:pt idx="12">
                  <c:v>94</c:v>
                </c:pt>
                <c:pt idx="13">
                  <c:v>70</c:v>
                </c:pt>
                <c:pt idx="14">
                  <c:v>57</c:v>
                </c:pt>
                <c:pt idx="15">
                  <c:v>79</c:v>
                </c:pt>
                <c:pt idx="16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31-4AB6-8B84-FDF91DDEB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27"/>
        <c:axId val="509612040"/>
        <c:axId val="509614088"/>
      </c:barChart>
      <c:catAx>
        <c:axId val="509612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614088"/>
        <c:crosses val="autoZero"/>
        <c:auto val="1"/>
        <c:lblAlgn val="ctr"/>
        <c:lblOffset val="100"/>
        <c:noMultiLvlLbl val="0"/>
      </c:catAx>
      <c:valAx>
        <c:axId val="509614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612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0</xdr:row>
      <xdr:rowOff>76200</xdr:rowOff>
    </xdr:from>
    <xdr:to>
      <xdr:col>19</xdr:col>
      <xdr:colOff>200025</xdr:colOff>
      <xdr:row>7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6577FF-07E7-8D6D-1C48-3E0F0A628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104775</xdr:colOff>
      <xdr:row>8</xdr:row>
      <xdr:rowOff>57150</xdr:rowOff>
    </xdr:from>
    <xdr:to>
      <xdr:col>19</xdr:col>
      <xdr:colOff>219075</xdr:colOff>
      <xdr:row>22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73C6122-A7E1-C7A4-3A2F-1D3350769589}"/>
            </a:ext>
            <a:ext uri="{147F2762-F138-4A5C-976F-8EAC2B608ADB}">
              <a16:predDERef xmlns:a16="http://schemas.microsoft.com/office/drawing/2014/main" pred="{6F6577FF-07E7-8D6D-1C48-3E0F0A628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304800</xdr:colOff>
      <xdr:row>0</xdr:row>
      <xdr:rowOff>76200</xdr:rowOff>
    </xdr:from>
    <xdr:to>
      <xdr:col>25</xdr:col>
      <xdr:colOff>257175</xdr:colOff>
      <xdr:row>8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86C274D-6047-A033-F449-B0FD8613FF0A}"/>
            </a:ext>
            <a:ext uri="{147F2762-F138-4A5C-976F-8EAC2B608ADB}">
              <a16:predDERef xmlns:a16="http://schemas.microsoft.com/office/drawing/2014/main" pred="{073C6122-A7E1-C7A4-3A2F-1D3350769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workbookViewId="0">
      <selection activeCell="A15" sqref="A15"/>
    </sheetView>
  </sheetViews>
  <sheetFormatPr defaultColWidth="11.7109375" defaultRowHeight="15"/>
  <cols>
    <col min="2" max="2" width="17.42578125" customWidth="1"/>
    <col min="3" max="4" width="10" style="1" customWidth="1"/>
    <col min="5" max="5" width="8.85546875" style="1" customWidth="1"/>
    <col min="6" max="6" width="8.7109375" style="1" customWidth="1"/>
    <col min="7" max="7" width="7" customWidth="1"/>
    <col min="8" max="8" width="8.5703125" customWidth="1"/>
    <col min="9" max="9" width="9.28515625" customWidth="1"/>
    <col min="10" max="10" width="8.5703125" customWidth="1"/>
    <col min="11" max="11" width="10.5703125" customWidth="1"/>
    <col min="12" max="12" width="6.85546875" customWidth="1"/>
    <col min="13" max="13" width="18" customWidth="1"/>
    <col min="14" max="14" width="7.7109375" customWidth="1"/>
  </cols>
  <sheetData>
    <row r="1" spans="1:13" ht="162" customHeight="1">
      <c r="A1" s="15" t="s">
        <v>0</v>
      </c>
      <c r="C1" s="11" t="s">
        <v>1</v>
      </c>
      <c r="D1" s="10" t="s">
        <v>2</v>
      </c>
      <c r="E1" s="12" t="s">
        <v>3</v>
      </c>
      <c r="F1" s="13" t="s">
        <v>4</v>
      </c>
      <c r="H1" s="11" t="s">
        <v>1</v>
      </c>
      <c r="I1" s="10" t="s">
        <v>5</v>
      </c>
      <c r="J1" s="12" t="s">
        <v>6</v>
      </c>
      <c r="K1" s="13" t="s">
        <v>7</v>
      </c>
      <c r="M1" s="9" t="s">
        <v>8</v>
      </c>
    </row>
    <row r="2" spans="1:13" ht="33.75" customHeight="1">
      <c r="B2" s="14" t="s">
        <v>9</v>
      </c>
      <c r="C2" s="4">
        <v>10</v>
      </c>
      <c r="D2" s="4">
        <v>20</v>
      </c>
      <c r="E2" s="4">
        <v>100</v>
      </c>
      <c r="F2" s="4">
        <v>1</v>
      </c>
    </row>
    <row r="3" spans="1:13" ht="18.75">
      <c r="A3" s="16" t="s">
        <v>10</v>
      </c>
      <c r="B3" s="16" t="s">
        <v>11</v>
      </c>
    </row>
    <row r="4" spans="1:13" ht="15.75" customHeight="1">
      <c r="A4" s="18" t="s">
        <v>12</v>
      </c>
      <c r="B4" s="17" t="s">
        <v>13</v>
      </c>
      <c r="C4" s="3">
        <v>10</v>
      </c>
      <c r="D4" s="3">
        <v>19</v>
      </c>
      <c r="E4" s="3">
        <v>93</v>
      </c>
      <c r="F4" s="3">
        <v>1</v>
      </c>
      <c r="G4" s="6"/>
      <c r="H4" s="5">
        <f>C4/C$2</f>
        <v>1</v>
      </c>
      <c r="I4" s="5">
        <f>D4/D$2</f>
        <v>0.95</v>
      </c>
      <c r="J4" s="5">
        <f>E4/E$2</f>
        <v>0.93</v>
      </c>
      <c r="K4" s="5">
        <f>F4/F$2</f>
        <v>1</v>
      </c>
      <c r="M4" t="b">
        <f>OR(H4&lt;0.5,I4&lt;0.5,J4&lt;0.5,K4&lt;0.5)</f>
        <v>0</v>
      </c>
    </row>
    <row r="5" spans="1:13" ht="18.75">
      <c r="A5" s="17" t="s">
        <v>14</v>
      </c>
      <c r="B5" s="17" t="s">
        <v>15</v>
      </c>
      <c r="C5" s="3">
        <v>8</v>
      </c>
      <c r="D5" s="3">
        <v>17</v>
      </c>
      <c r="E5" s="3">
        <v>80</v>
      </c>
      <c r="F5" s="3">
        <v>1</v>
      </c>
      <c r="G5" s="6"/>
      <c r="H5" s="5">
        <f t="shared" ref="H5:H20" si="0">C5/C$2</f>
        <v>0.8</v>
      </c>
      <c r="I5" s="5">
        <f t="shared" ref="I5:K19" si="1">D5/D$2</f>
        <v>0.85</v>
      </c>
      <c r="J5" s="5">
        <f t="shared" si="1"/>
        <v>0.8</v>
      </c>
      <c r="K5" s="5">
        <f t="shared" si="1"/>
        <v>1</v>
      </c>
      <c r="M5" t="b">
        <f t="shared" ref="M5:M20" si="2">OR(H5&lt;0.5,I5&lt;0.5,J5&lt;0.5,K5&lt;0.5)</f>
        <v>0</v>
      </c>
    </row>
    <row r="6" spans="1:13" ht="18.75">
      <c r="A6" s="17" t="s">
        <v>16</v>
      </c>
      <c r="B6" s="17" t="s">
        <v>17</v>
      </c>
      <c r="C6" s="3">
        <v>9</v>
      </c>
      <c r="D6" s="3">
        <v>14</v>
      </c>
      <c r="E6" s="3">
        <v>95</v>
      </c>
      <c r="F6" s="3">
        <v>1</v>
      </c>
      <c r="G6" s="6"/>
      <c r="H6" s="5">
        <f t="shared" si="0"/>
        <v>0.9</v>
      </c>
      <c r="I6" s="5">
        <f>D6/D$2</f>
        <v>0.7</v>
      </c>
      <c r="J6" s="5">
        <f t="shared" si="1"/>
        <v>0.95</v>
      </c>
      <c r="K6" s="5">
        <f t="shared" si="1"/>
        <v>1</v>
      </c>
      <c r="M6" t="b">
        <f t="shared" si="2"/>
        <v>0</v>
      </c>
    </row>
    <row r="7" spans="1:13" ht="18.75">
      <c r="A7" s="17" t="s">
        <v>18</v>
      </c>
      <c r="B7" s="17" t="s">
        <v>19</v>
      </c>
      <c r="C7" s="3">
        <v>9</v>
      </c>
      <c r="D7" s="3">
        <v>11</v>
      </c>
      <c r="E7" s="3">
        <v>60</v>
      </c>
      <c r="F7" s="3">
        <v>1</v>
      </c>
      <c r="G7" s="6"/>
      <c r="H7" s="5">
        <f t="shared" si="0"/>
        <v>0.9</v>
      </c>
      <c r="I7" s="5">
        <f>D7/D$2</f>
        <v>0.55000000000000004</v>
      </c>
      <c r="J7" s="5">
        <f>E7/E$2</f>
        <v>0.6</v>
      </c>
      <c r="K7" s="5">
        <f t="shared" si="1"/>
        <v>1</v>
      </c>
      <c r="M7" t="b">
        <f t="shared" si="2"/>
        <v>0</v>
      </c>
    </row>
    <row r="8" spans="1:13" ht="18.75">
      <c r="A8" s="17" t="s">
        <v>20</v>
      </c>
      <c r="B8" s="17" t="s">
        <v>21</v>
      </c>
      <c r="C8" s="3">
        <v>9</v>
      </c>
      <c r="D8" s="3">
        <v>19</v>
      </c>
      <c r="E8" s="3">
        <v>54</v>
      </c>
      <c r="F8" s="3">
        <v>1</v>
      </c>
      <c r="G8" s="6"/>
      <c r="H8" s="5">
        <f>C8/C$2</f>
        <v>0.9</v>
      </c>
      <c r="I8" s="5">
        <f>D8/D$2</f>
        <v>0.95</v>
      </c>
      <c r="J8" s="5">
        <f>E8/E$2</f>
        <v>0.54</v>
      </c>
      <c r="K8" s="5">
        <f t="shared" si="1"/>
        <v>1</v>
      </c>
      <c r="M8" t="b">
        <f t="shared" si="2"/>
        <v>0</v>
      </c>
    </row>
    <row r="9" spans="1:13" ht="18.75">
      <c r="A9" s="17" t="s">
        <v>22</v>
      </c>
      <c r="B9" s="17" t="s">
        <v>23</v>
      </c>
      <c r="C9" s="3">
        <v>8</v>
      </c>
      <c r="D9" s="3">
        <v>19</v>
      </c>
      <c r="E9" s="3">
        <v>64</v>
      </c>
      <c r="F9" s="3">
        <v>1</v>
      </c>
      <c r="G9" s="6"/>
      <c r="H9" s="5">
        <f t="shared" si="0"/>
        <v>0.8</v>
      </c>
      <c r="I9" s="5">
        <f t="shared" si="1"/>
        <v>0.95</v>
      </c>
      <c r="J9" s="5">
        <f t="shared" si="1"/>
        <v>0.64</v>
      </c>
      <c r="K9" s="5">
        <f>F9/F$2</f>
        <v>1</v>
      </c>
      <c r="M9" t="b">
        <f t="shared" si="2"/>
        <v>0</v>
      </c>
    </row>
    <row r="10" spans="1:13" ht="18.75">
      <c r="A10" s="17" t="s">
        <v>24</v>
      </c>
      <c r="B10" s="17" t="s">
        <v>25</v>
      </c>
      <c r="C10" s="3">
        <v>8</v>
      </c>
      <c r="D10" s="3">
        <v>20</v>
      </c>
      <c r="E10" s="3">
        <v>20</v>
      </c>
      <c r="F10" s="3">
        <v>1</v>
      </c>
      <c r="G10" s="6"/>
      <c r="H10" s="5">
        <f t="shared" si="0"/>
        <v>0.8</v>
      </c>
      <c r="I10" s="5">
        <f>D10/D$2</f>
        <v>1</v>
      </c>
      <c r="J10" s="5">
        <f>E10/E$2</f>
        <v>0.2</v>
      </c>
      <c r="K10" s="5">
        <f t="shared" si="1"/>
        <v>1</v>
      </c>
      <c r="M10" t="b">
        <f t="shared" si="2"/>
        <v>1</v>
      </c>
    </row>
    <row r="11" spans="1:13" ht="18.75">
      <c r="A11" s="17" t="s">
        <v>26</v>
      </c>
      <c r="B11" s="17" t="s">
        <v>27</v>
      </c>
      <c r="C11" s="3">
        <v>6</v>
      </c>
      <c r="D11" s="3">
        <v>15</v>
      </c>
      <c r="E11" s="3">
        <v>69</v>
      </c>
      <c r="F11" s="3">
        <v>1</v>
      </c>
      <c r="G11" s="6"/>
      <c r="H11" s="5">
        <f>C11/C$2</f>
        <v>0.6</v>
      </c>
      <c r="I11" s="5">
        <f>D11/D$2</f>
        <v>0.75</v>
      </c>
      <c r="J11" s="5">
        <f t="shared" si="1"/>
        <v>0.69</v>
      </c>
      <c r="K11" s="5">
        <f t="shared" si="1"/>
        <v>1</v>
      </c>
      <c r="M11" t="b">
        <f t="shared" si="2"/>
        <v>0</v>
      </c>
    </row>
    <row r="12" spans="1:13" ht="18.75">
      <c r="A12" s="17" t="s">
        <v>28</v>
      </c>
      <c r="B12" s="17" t="s">
        <v>29</v>
      </c>
      <c r="C12" s="3">
        <v>10</v>
      </c>
      <c r="D12" s="3">
        <v>15</v>
      </c>
      <c r="E12" s="3">
        <v>99</v>
      </c>
      <c r="F12" s="3">
        <v>1</v>
      </c>
      <c r="G12" s="6"/>
      <c r="H12" s="5">
        <f t="shared" si="0"/>
        <v>1</v>
      </c>
      <c r="I12" s="5">
        <f t="shared" si="1"/>
        <v>0.75</v>
      </c>
      <c r="J12" s="5">
        <f t="shared" si="1"/>
        <v>0.99</v>
      </c>
      <c r="K12" s="5">
        <f>F12/F$2</f>
        <v>1</v>
      </c>
      <c r="M12" t="b">
        <f t="shared" si="2"/>
        <v>0</v>
      </c>
    </row>
    <row r="13" spans="1:13" ht="18.75">
      <c r="A13" s="17" t="s">
        <v>30</v>
      </c>
      <c r="B13" s="17" t="s">
        <v>31</v>
      </c>
      <c r="C13" s="3">
        <v>7</v>
      </c>
      <c r="D13" s="3">
        <v>11</v>
      </c>
      <c r="E13" s="3">
        <v>84</v>
      </c>
      <c r="F13" s="3">
        <v>1</v>
      </c>
      <c r="G13" s="6"/>
      <c r="H13" s="5">
        <f t="shared" si="0"/>
        <v>0.7</v>
      </c>
      <c r="I13" s="5">
        <f t="shared" si="1"/>
        <v>0.55000000000000004</v>
      </c>
      <c r="J13" s="5">
        <f t="shared" si="1"/>
        <v>0.84</v>
      </c>
      <c r="K13" s="5">
        <f>F13/F$2</f>
        <v>1</v>
      </c>
      <c r="M13" t="b">
        <f t="shared" si="2"/>
        <v>0</v>
      </c>
    </row>
    <row r="14" spans="1:13" ht="18.75">
      <c r="A14" s="17" t="s">
        <v>12</v>
      </c>
      <c r="B14" s="17" t="s">
        <v>32</v>
      </c>
      <c r="C14" s="3">
        <v>9</v>
      </c>
      <c r="D14" s="3">
        <v>20</v>
      </c>
      <c r="E14" s="3">
        <v>86</v>
      </c>
      <c r="F14" s="3">
        <v>1</v>
      </c>
      <c r="G14" s="6"/>
      <c r="H14" s="5">
        <f t="shared" si="0"/>
        <v>0.9</v>
      </c>
      <c r="I14" s="5">
        <f t="shared" si="1"/>
        <v>1</v>
      </c>
      <c r="J14" s="5">
        <f t="shared" si="1"/>
        <v>0.86</v>
      </c>
      <c r="K14" s="5">
        <f t="shared" si="1"/>
        <v>1</v>
      </c>
      <c r="M14" t="b">
        <f t="shared" si="2"/>
        <v>0</v>
      </c>
    </row>
    <row r="15" spans="1:13" ht="18.75">
      <c r="A15" s="17" t="s">
        <v>14</v>
      </c>
      <c r="B15" s="17" t="s">
        <v>33</v>
      </c>
      <c r="C15" s="3">
        <v>9</v>
      </c>
      <c r="D15" s="3">
        <v>20</v>
      </c>
      <c r="E15" s="3">
        <v>53</v>
      </c>
      <c r="F15" s="3">
        <v>0</v>
      </c>
      <c r="G15" s="6"/>
      <c r="H15" s="5">
        <f t="shared" si="0"/>
        <v>0.9</v>
      </c>
      <c r="I15" s="5">
        <f t="shared" si="1"/>
        <v>1</v>
      </c>
      <c r="J15" s="5">
        <f t="shared" si="1"/>
        <v>0.53</v>
      </c>
      <c r="K15" s="5">
        <f t="shared" si="1"/>
        <v>0</v>
      </c>
      <c r="M15" t="b">
        <f t="shared" si="2"/>
        <v>1</v>
      </c>
    </row>
    <row r="16" spans="1:13" ht="18.75">
      <c r="A16" s="17" t="s">
        <v>34</v>
      </c>
      <c r="B16" s="17" t="s">
        <v>35</v>
      </c>
      <c r="C16" s="3">
        <v>10</v>
      </c>
      <c r="D16" s="3">
        <v>19</v>
      </c>
      <c r="E16" s="3">
        <v>94</v>
      </c>
      <c r="F16" s="3">
        <v>0</v>
      </c>
      <c r="G16" s="6"/>
      <c r="H16" s="5">
        <f t="shared" si="0"/>
        <v>1</v>
      </c>
      <c r="I16" s="5">
        <f t="shared" si="1"/>
        <v>0.95</v>
      </c>
      <c r="J16" s="5">
        <f t="shared" si="1"/>
        <v>0.94</v>
      </c>
      <c r="K16" s="5">
        <f t="shared" si="1"/>
        <v>0</v>
      </c>
      <c r="M16" t="b">
        <f t="shared" si="2"/>
        <v>1</v>
      </c>
    </row>
    <row r="17" spans="1:13" ht="18.75">
      <c r="A17" s="17" t="s">
        <v>36</v>
      </c>
      <c r="B17" s="17" t="s">
        <v>37</v>
      </c>
      <c r="C17" s="3">
        <v>9</v>
      </c>
      <c r="D17" s="3">
        <v>14</v>
      </c>
      <c r="E17" s="3">
        <v>70</v>
      </c>
      <c r="F17" s="3">
        <v>1</v>
      </c>
      <c r="G17" s="6"/>
      <c r="H17" s="5">
        <f t="shared" si="0"/>
        <v>0.9</v>
      </c>
      <c r="I17" s="5">
        <f t="shared" si="1"/>
        <v>0.7</v>
      </c>
      <c r="J17" s="5">
        <f t="shared" si="1"/>
        <v>0.7</v>
      </c>
      <c r="K17" s="5">
        <f t="shared" si="1"/>
        <v>1</v>
      </c>
      <c r="M17" t="b">
        <f t="shared" si="2"/>
        <v>0</v>
      </c>
    </row>
    <row r="18" spans="1:13" ht="18.75">
      <c r="A18" s="17" t="s">
        <v>16</v>
      </c>
      <c r="B18" s="17" t="s">
        <v>38</v>
      </c>
      <c r="C18" s="3">
        <v>6</v>
      </c>
      <c r="D18" s="3">
        <v>9</v>
      </c>
      <c r="E18" s="3">
        <v>57</v>
      </c>
      <c r="F18" s="3">
        <v>1</v>
      </c>
      <c r="G18" s="6"/>
      <c r="H18" s="5">
        <f t="shared" si="0"/>
        <v>0.6</v>
      </c>
      <c r="I18" s="5">
        <f t="shared" si="1"/>
        <v>0.45</v>
      </c>
      <c r="J18" s="5">
        <f t="shared" si="1"/>
        <v>0.56999999999999995</v>
      </c>
      <c r="K18" s="5">
        <f t="shared" si="1"/>
        <v>1</v>
      </c>
      <c r="M18" t="b">
        <f t="shared" si="2"/>
        <v>1</v>
      </c>
    </row>
    <row r="19" spans="1:13" ht="18.75">
      <c r="A19" s="17" t="s">
        <v>39</v>
      </c>
      <c r="B19" s="17" t="s">
        <v>40</v>
      </c>
      <c r="C19" s="3">
        <v>6</v>
      </c>
      <c r="D19" s="3">
        <v>11</v>
      </c>
      <c r="E19" s="3">
        <v>79</v>
      </c>
      <c r="F19" s="3">
        <v>1</v>
      </c>
      <c r="G19" s="6"/>
      <c r="H19" s="5">
        <f t="shared" si="0"/>
        <v>0.6</v>
      </c>
      <c r="I19" s="5">
        <f t="shared" si="1"/>
        <v>0.55000000000000004</v>
      </c>
      <c r="J19" s="5">
        <f t="shared" si="1"/>
        <v>0.79</v>
      </c>
      <c r="K19" s="5">
        <f t="shared" si="1"/>
        <v>1</v>
      </c>
      <c r="M19" t="b">
        <f t="shared" si="2"/>
        <v>0</v>
      </c>
    </row>
    <row r="20" spans="1:13" ht="18.75">
      <c r="A20" s="17" t="s">
        <v>16</v>
      </c>
      <c r="B20" s="17" t="s">
        <v>41</v>
      </c>
      <c r="C20" s="3">
        <v>7</v>
      </c>
      <c r="D20" s="3">
        <v>14</v>
      </c>
      <c r="E20" s="3">
        <v>87</v>
      </c>
      <c r="F20" s="3">
        <v>1</v>
      </c>
      <c r="G20" s="6"/>
      <c r="H20" s="5">
        <f t="shared" si="0"/>
        <v>0.7</v>
      </c>
      <c r="I20" s="5">
        <f t="shared" ref="I20" si="3">D20/D$2</f>
        <v>0.7</v>
      </c>
      <c r="J20" s="5">
        <f t="shared" ref="J20" si="4">E20/E$2</f>
        <v>0.87</v>
      </c>
      <c r="K20" s="5">
        <f t="shared" ref="K20" si="5">F20/F$2</f>
        <v>1</v>
      </c>
      <c r="M20" t="b">
        <f t="shared" si="2"/>
        <v>0</v>
      </c>
    </row>
    <row r="22" spans="1:13">
      <c r="A22" s="2" t="s">
        <v>42</v>
      </c>
      <c r="C22" s="3">
        <f>MAX(C4:C20)</f>
        <v>10</v>
      </c>
      <c r="D22" s="3">
        <f t="shared" ref="D22:F22" si="6">MAX(D4:D20)</f>
        <v>20</v>
      </c>
      <c r="E22" s="3">
        <f t="shared" si="6"/>
        <v>99</v>
      </c>
      <c r="F22" s="3">
        <f t="shared" si="6"/>
        <v>1</v>
      </c>
      <c r="G22" s="3"/>
      <c r="H22" s="8">
        <f>MAX(H4:H20)</f>
        <v>1</v>
      </c>
      <c r="I22" s="8">
        <f t="shared" ref="I22:K22" si="7">MAX(I4:I20)</f>
        <v>1</v>
      </c>
      <c r="J22" s="8">
        <f t="shared" si="7"/>
        <v>0.99</v>
      </c>
      <c r="K22" s="8">
        <f t="shared" si="7"/>
        <v>1</v>
      </c>
    </row>
    <row r="23" spans="1:13">
      <c r="A23" s="2" t="s">
        <v>43</v>
      </c>
      <c r="C23" s="3">
        <f>MIN(C4:C20)</f>
        <v>6</v>
      </c>
      <c r="D23" s="3">
        <f t="shared" ref="D23:F23" si="8">MIN(D4:D20)</f>
        <v>9</v>
      </c>
      <c r="E23" s="3">
        <f t="shared" si="8"/>
        <v>20</v>
      </c>
      <c r="F23" s="3">
        <f t="shared" si="8"/>
        <v>0</v>
      </c>
      <c r="G23" s="3"/>
      <c r="H23" s="8">
        <f>MIN(H4:H20)</f>
        <v>0.6</v>
      </c>
      <c r="I23" s="8">
        <f t="shared" ref="I23:K23" si="9">MIN(I4:I20)</f>
        <v>0.45</v>
      </c>
      <c r="J23" s="8">
        <f t="shared" si="9"/>
        <v>0.2</v>
      </c>
      <c r="K23" s="8">
        <f t="shared" si="9"/>
        <v>0</v>
      </c>
    </row>
    <row r="24" spans="1:13">
      <c r="A24" s="2" t="s">
        <v>44</v>
      </c>
      <c r="C24" s="7">
        <f>AVERAGE(C4:C20)</f>
        <v>8.235294117647058</v>
      </c>
      <c r="D24" s="7">
        <f t="shared" ref="D24:F24" si="10">AVERAGE(D4:D20)</f>
        <v>15.705882352941176</v>
      </c>
      <c r="E24" s="7">
        <f t="shared" si="10"/>
        <v>73.17647058823529</v>
      </c>
      <c r="F24" s="7">
        <f t="shared" si="10"/>
        <v>0.88235294117647056</v>
      </c>
      <c r="G24" s="3"/>
      <c r="H24" s="8">
        <f>AVERAGE(H4:H20)</f>
        <v>0.82352941176470573</v>
      </c>
      <c r="I24" s="8">
        <f t="shared" ref="I24:K24" si="11">AVERAGE(I4:I20)</f>
        <v>0.7852941176470587</v>
      </c>
      <c r="J24" s="8">
        <f t="shared" si="11"/>
        <v>0.73176470588235265</v>
      </c>
      <c r="K24" s="8">
        <f t="shared" si="11"/>
        <v>0.88235294117647056</v>
      </c>
    </row>
  </sheetData>
  <conditionalFormatting sqref="C4:C20">
    <cfRule type="iconSet" priority="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:C20">
    <cfRule type="iconSet" priority="7">
      <iconSet iconSet="3Signs">
        <cfvo type="percent" val="0"/>
        <cfvo type="percent" val="33"/>
        <cfvo type="percent" val="67"/>
      </iconSet>
    </cfRule>
  </conditionalFormatting>
  <conditionalFormatting sqref="C4:C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">
    <cfRule type="cellIs" dxfId="1" priority="2" operator="lessThan">
      <formula>0.5</formula>
    </cfRule>
  </conditionalFormatting>
  <conditionalFormatting sqref="M4:M20">
    <cfRule type="cellIs" dxfId="0" priority="1" operator="equal">
      <formula>TRUE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2026-10-14T05:38:27Z</dcterms:created>
  <dcterms:modified xsi:type="dcterms:W3CDTF">2026-10-14T09:49:15Z</dcterms:modified>
  <cp:category/>
  <cp:contentStatus/>
</cp:coreProperties>
</file>